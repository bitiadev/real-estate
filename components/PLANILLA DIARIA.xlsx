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00" windowHeight="8445" activeTab="1"/>
  </bookViews>
  <sheets>
    <sheet name="Pedidos de Alquiler" sheetId="1" r:id="rId1"/>
    <sheet name="Pedidos de Compra" sheetId="2" r:id="rId2"/>
    <sheet name="Pedidos de Venta" sheetId="3" r:id="rId3"/>
    <sheet name="Resumen" sheetId="4" r:id="rId4"/>
  </sheets>
  <calcPr calcId="152511"/>
</workbook>
</file>

<file path=xl/calcChain.xml><?xml version="1.0" encoding="utf-8"?>
<calcChain xmlns="http://schemas.openxmlformats.org/spreadsheetml/2006/main">
  <c r="B7" i="4" l="1"/>
  <c r="B8" i="4"/>
  <c r="B5" i="4"/>
  <c r="B4" i="4"/>
  <c r="B3" i="4"/>
</calcChain>
</file>

<file path=xl/sharedStrings.xml><?xml version="1.0" encoding="utf-8"?>
<sst xmlns="http://schemas.openxmlformats.org/spreadsheetml/2006/main" count="138" uniqueCount="105">
  <si>
    <t>Nombre del Cliente</t>
  </si>
  <si>
    <t>Teléfono</t>
  </si>
  <si>
    <t>Tipo de Propiedad</t>
  </si>
  <si>
    <t>Presupuesto</t>
  </si>
  <si>
    <t>Fecha del Pedido</t>
  </si>
  <si>
    <t>Notas</t>
  </si>
  <si>
    <t>Resumen de Pedidos</t>
  </si>
  <si>
    <t>Total Alquileres:</t>
  </si>
  <si>
    <t>Total Compras:</t>
  </si>
  <si>
    <t>Total Ventas:</t>
  </si>
  <si>
    <t>Pagos Pendientes (Alquiler):</t>
  </si>
  <si>
    <t>Pedidos Vencidos (Alquiler):</t>
  </si>
  <si>
    <t>LUCIA CALO</t>
  </si>
  <si>
    <t>2983-643142</t>
  </si>
  <si>
    <t>OFICINAS - CASA</t>
  </si>
  <si>
    <t>LORENA MARTINEZ</t>
  </si>
  <si>
    <t>2983-560189</t>
  </si>
  <si>
    <t>SUSANA</t>
  </si>
  <si>
    <t>2983-500668</t>
  </si>
  <si>
    <t>CASA</t>
  </si>
  <si>
    <t>Requisitos</t>
  </si>
  <si>
    <t>JORGE GANIM</t>
  </si>
  <si>
    <t>2983-503995</t>
  </si>
  <si>
    <t>RIVADAVIA 979</t>
  </si>
  <si>
    <t>CASA PARA VENDER LARREA 714 (PARTIDA 43750)</t>
  </si>
  <si>
    <t>MARIA</t>
  </si>
  <si>
    <t>2983-644579</t>
  </si>
  <si>
    <t>LOCAL COMERCIAL</t>
  </si>
  <si>
    <t>4 AVENIDAS</t>
  </si>
  <si>
    <t xml:space="preserve">CASA </t>
  </si>
  <si>
    <t>PERMUTA O COMPRA POR CASA MAS CHICA (RIVADAVIA 979)</t>
  </si>
  <si>
    <t>EMILIA AIELO</t>
  </si>
  <si>
    <t>2983-445189</t>
  </si>
  <si>
    <t>DEPOSITO</t>
  </si>
  <si>
    <t>MINIMO 10 X 40</t>
  </si>
  <si>
    <t>ANDREA DI BENEDETO</t>
  </si>
  <si>
    <t>2983-401015</t>
  </si>
  <si>
    <t>CASA + LOCAL AL FRENTE</t>
  </si>
  <si>
    <t>Tasacion</t>
  </si>
  <si>
    <t xml:space="preserve"> BEATRIZ ALVAREZ</t>
  </si>
  <si>
    <t>2983-562363</t>
  </si>
  <si>
    <t>MONICA SAYA</t>
  </si>
  <si>
    <t>2983-567864</t>
  </si>
  <si>
    <t>SANDRA HAACKER</t>
  </si>
  <si>
    <t>CASA DE HECTOR - DORREGO 955</t>
  </si>
  <si>
    <t>TIENE UN DPTO. EN MONO BLOCK TORRE TANQUE</t>
  </si>
  <si>
    <t>DORREGO 955</t>
  </si>
  <si>
    <t>RECONQUISTA 835</t>
  </si>
  <si>
    <t>LOTE BALDIO</t>
  </si>
  <si>
    <t>LEO ANA</t>
  </si>
  <si>
    <t>CASA DE GISELA</t>
  </si>
  <si>
    <t>2983-645327</t>
  </si>
  <si>
    <t>2983-526799</t>
  </si>
  <si>
    <t>JORGE RIISBERG</t>
  </si>
  <si>
    <t>2983-340065</t>
  </si>
  <si>
    <t>PATRICIO FERRARIO</t>
  </si>
  <si>
    <t>CASA LINDA</t>
  </si>
  <si>
    <t>YA VIMOS LOMA CAMPANO - ROCHA 855 CON ODASSO</t>
  </si>
  <si>
    <t>INSTAGRAM</t>
  </si>
  <si>
    <t>CASA S. COSTA 260</t>
  </si>
  <si>
    <t>MANDAR FOTOS</t>
  </si>
  <si>
    <t>VIZOLINI - SAUL</t>
  </si>
  <si>
    <t>TASAR - (NO PUBLICAR)</t>
  </si>
  <si>
    <t>ESCUCHA PROPUESTAS</t>
  </si>
  <si>
    <t>2 PROFESIONALES</t>
  </si>
  <si>
    <t>DOS AMBIENTES</t>
  </si>
  <si>
    <t>EMANUEL FREDES</t>
  </si>
  <si>
    <t>DOS DORMITORIOS</t>
  </si>
  <si>
    <t>TIENE MASCOTA</t>
  </si>
  <si>
    <t>SUSANA VASSOLO</t>
  </si>
  <si>
    <t>MAGALI VEGA</t>
  </si>
  <si>
    <t>DEPARTAMENTO</t>
  </si>
  <si>
    <t>UN DORMITORIO</t>
  </si>
  <si>
    <t>TIENE DOS MASCOTAS</t>
  </si>
  <si>
    <t>MICAELA GARATE</t>
  </si>
  <si>
    <t>TIENE UNA MASCOTA</t>
  </si>
  <si>
    <t>BELEN PAEZ</t>
  </si>
  <si>
    <t>11-59388784</t>
  </si>
  <si>
    <t>MANUEL CINALLI</t>
  </si>
  <si>
    <t>2983-410104</t>
  </si>
  <si>
    <t>CENTRICO</t>
  </si>
  <si>
    <t>VIRGINIA MARTINEZ</t>
  </si>
  <si>
    <t>2983-642914</t>
  </si>
  <si>
    <t>RUBRO: ALIMENTOS</t>
  </si>
  <si>
    <t>CAMILA WEHRHAHNE</t>
  </si>
  <si>
    <t>2983-448950</t>
  </si>
  <si>
    <t>CASA O DPTO.</t>
  </si>
  <si>
    <t>VALERIA CASSATARO</t>
  </si>
  <si>
    <t>2983-404102</t>
  </si>
  <si>
    <t>CASA + LOCAL</t>
  </si>
  <si>
    <t>GARAGE O QUINCHO GRANDE</t>
  </si>
  <si>
    <t>EVELYN IVANOFF</t>
  </si>
  <si>
    <t>2983-572238</t>
  </si>
  <si>
    <t>HIPOTECARIO</t>
  </si>
  <si>
    <t>BETINA CARELLA</t>
  </si>
  <si>
    <t>FLOR</t>
  </si>
  <si>
    <t>CLAROMECO - DUNAMAR</t>
  </si>
  <si>
    <t>2983-463645</t>
  </si>
  <si>
    <t>CARLA BARILE ARIAS</t>
  </si>
  <si>
    <t>2983-407556</t>
  </si>
  <si>
    <t>CASA O TERRENO</t>
  </si>
  <si>
    <t>CLAROMECO - HIPOTECARIO</t>
  </si>
  <si>
    <t>JUAN IROULAT</t>
  </si>
  <si>
    <t>11-5936-7372</t>
  </si>
  <si>
    <t>PREFERENTEMENTE EN EL RECIDENCIAL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</si>
</sst>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activeCell="E7" sqref="E7"/>
    </sheetView>
  </sheetViews>
  <sheetFormatPr baseColWidth="10" defaultColWidth="9.140625" defaultRowHeight="15" x14ac:dyDescent="0.25"/>
  <cols>
    <col min="1" max="4" width="20.7109375" style="5" customWidth="1"/>
    <col min="5" max="5" width="20.7109375" style="6" customWidth="1"/>
    <col min="6" max="6" width="20.7109375" style="5" customWidth="1"/>
    <col min="7" max="7" width="36.28515625" style="5" customWidth="1"/>
  </cols>
  <sheetData>
    <row r="1" spans="1:7" ht="21.95" customHeight="1" x14ac:dyDescent="0.25">
      <c r="A1" s="3" t="s">
        <v>0</v>
      </c>
      <c r="B1" s="3" t="s">
        <v>1</v>
      </c>
      <c r="C1" s="3" t="s">
        <v>2</v>
      </c>
      <c r="D1" s="3" t="s">
        <v>20</v>
      </c>
      <c r="E1" s="4" t="s">
        <v>3</v>
      </c>
      <c r="F1" s="3" t="s">
        <v>4</v>
      </c>
      <c r="G1" s="3" t="s">
        <v>5</v>
      </c>
    </row>
    <row r="2" spans="1:7" ht="21.95" customHeight="1" x14ac:dyDescent="0.25">
      <c r="A2" s="5" t="s">
        <v>12</v>
      </c>
      <c r="B2" s="5" t="s">
        <v>13</v>
      </c>
      <c r="C2" s="5" t="s">
        <v>14</v>
      </c>
      <c r="D2" s="5" t="s">
        <v>65</v>
      </c>
      <c r="E2" s="6">
        <v>550000</v>
      </c>
      <c r="F2" s="7">
        <v>45754</v>
      </c>
      <c r="G2" s="5" t="s">
        <v>64</v>
      </c>
    </row>
    <row r="3" spans="1:7" ht="21.95" customHeight="1" x14ac:dyDescent="0.25">
      <c r="A3" s="5" t="s">
        <v>15</v>
      </c>
      <c r="B3" s="5" t="s">
        <v>16</v>
      </c>
      <c r="C3" s="5" t="s">
        <v>14</v>
      </c>
      <c r="E3" s="6">
        <v>400000</v>
      </c>
      <c r="F3" s="7">
        <v>45754</v>
      </c>
    </row>
    <row r="4" spans="1:7" ht="21.95" customHeight="1" x14ac:dyDescent="0.25">
      <c r="A4" s="5" t="s">
        <v>17</v>
      </c>
      <c r="B4" s="5" t="s">
        <v>18</v>
      </c>
      <c r="C4" s="5" t="s">
        <v>19</v>
      </c>
      <c r="E4" s="6">
        <v>550000</v>
      </c>
      <c r="F4" s="7">
        <v>45755</v>
      </c>
    </row>
    <row r="5" spans="1:7" ht="21.95" customHeight="1" x14ac:dyDescent="0.25">
      <c r="A5" s="5" t="s">
        <v>25</v>
      </c>
      <c r="B5" s="5" t="s">
        <v>26</v>
      </c>
      <c r="C5" s="5" t="s">
        <v>27</v>
      </c>
      <c r="D5" s="5" t="s">
        <v>28</v>
      </c>
      <c r="E5" s="6">
        <v>400000</v>
      </c>
      <c r="F5" s="7">
        <v>45755</v>
      </c>
    </row>
    <row r="6" spans="1:7" ht="21.95" customHeight="1" x14ac:dyDescent="0.25">
      <c r="A6" s="5" t="s">
        <v>31</v>
      </c>
      <c r="B6" s="5" t="s">
        <v>32</v>
      </c>
      <c r="C6" s="5" t="s">
        <v>33</v>
      </c>
      <c r="D6" s="5" t="s">
        <v>34</v>
      </c>
      <c r="E6" s="6">
        <v>1500000</v>
      </c>
      <c r="F6" s="7">
        <v>45756</v>
      </c>
    </row>
    <row r="7" spans="1:7" ht="21.95" customHeight="1" x14ac:dyDescent="0.25">
      <c r="A7" s="5" t="s">
        <v>66</v>
      </c>
      <c r="B7" s="5" t="s">
        <v>58</v>
      </c>
      <c r="C7" s="5" t="s">
        <v>19</v>
      </c>
      <c r="D7" s="5" t="s">
        <v>67</v>
      </c>
      <c r="E7" s="6">
        <v>550000</v>
      </c>
      <c r="F7" s="7">
        <v>45763</v>
      </c>
      <c r="G7" s="5" t="s">
        <v>68</v>
      </c>
    </row>
    <row r="8" spans="1:7" ht="21.95" customHeight="1" x14ac:dyDescent="0.25">
      <c r="A8" s="5" t="s">
        <v>69</v>
      </c>
      <c r="B8" s="5" t="s">
        <v>18</v>
      </c>
      <c r="D8" s="5" t="s">
        <v>67</v>
      </c>
      <c r="E8" s="6">
        <v>550000</v>
      </c>
      <c r="F8" s="7">
        <v>45763</v>
      </c>
      <c r="G8" s="5" t="s">
        <v>68</v>
      </c>
    </row>
    <row r="9" spans="1:7" ht="21.95" customHeight="1" x14ac:dyDescent="0.25">
      <c r="A9" s="5" t="s">
        <v>70</v>
      </c>
      <c r="B9" s="5" t="s">
        <v>58</v>
      </c>
      <c r="C9" s="5" t="s">
        <v>71</v>
      </c>
      <c r="D9" s="5" t="s">
        <v>72</v>
      </c>
      <c r="E9" s="6">
        <v>400000</v>
      </c>
      <c r="F9" s="7">
        <v>45763</v>
      </c>
      <c r="G9" s="5" t="s">
        <v>73</v>
      </c>
    </row>
    <row r="10" spans="1:7" ht="21.95" customHeight="1" x14ac:dyDescent="0.25">
      <c r="A10" s="5" t="s">
        <v>74</v>
      </c>
      <c r="B10" s="5" t="s">
        <v>58</v>
      </c>
      <c r="C10" s="5" t="s">
        <v>71</v>
      </c>
      <c r="D10" s="5" t="s">
        <v>72</v>
      </c>
      <c r="E10" s="6">
        <v>400000</v>
      </c>
      <c r="F10" s="7">
        <v>45763</v>
      </c>
      <c r="G10" s="5" t="s">
        <v>75</v>
      </c>
    </row>
    <row r="11" spans="1:7" ht="21.95" customHeight="1" x14ac:dyDescent="0.25">
      <c r="A11" s="5" t="s">
        <v>76</v>
      </c>
      <c r="B11" s="5" t="s">
        <v>77</v>
      </c>
      <c r="C11" s="5" t="s">
        <v>71</v>
      </c>
      <c r="D11" s="5" t="s">
        <v>72</v>
      </c>
      <c r="E11" s="6">
        <v>400000</v>
      </c>
      <c r="F11" s="7">
        <v>45763</v>
      </c>
      <c r="G11" s="5" t="s">
        <v>75</v>
      </c>
    </row>
    <row r="12" spans="1:7" ht="21.95" customHeight="1" x14ac:dyDescent="0.25">
      <c r="A12" s="5" t="s">
        <v>78</v>
      </c>
      <c r="B12" s="5" t="s">
        <v>79</v>
      </c>
      <c r="C12" s="5" t="s">
        <v>71</v>
      </c>
      <c r="D12" s="5" t="s">
        <v>72</v>
      </c>
      <c r="E12" s="6">
        <v>400000</v>
      </c>
      <c r="F12" s="7">
        <v>45763</v>
      </c>
      <c r="G12" s="5" t="s">
        <v>80</v>
      </c>
    </row>
    <row r="13" spans="1:7" ht="21.95" customHeight="1" x14ac:dyDescent="0.25">
      <c r="A13" s="5" t="s">
        <v>81</v>
      </c>
      <c r="B13" s="5" t="s">
        <v>82</v>
      </c>
      <c r="C13" s="5" t="s">
        <v>27</v>
      </c>
      <c r="D13" s="5" t="s">
        <v>83</v>
      </c>
      <c r="E13" s="6">
        <v>550000</v>
      </c>
      <c r="F13" s="7">
        <v>45763</v>
      </c>
    </row>
    <row r="14" spans="1:7" ht="21.95" customHeight="1" x14ac:dyDescent="0.25">
      <c r="A14" s="5" t="s">
        <v>84</v>
      </c>
      <c r="B14" s="5" t="s">
        <v>85</v>
      </c>
      <c r="C14" s="5" t="s">
        <v>86</v>
      </c>
      <c r="D14" s="5" t="s">
        <v>67</v>
      </c>
      <c r="E14" s="6">
        <v>550000</v>
      </c>
      <c r="F14" s="7">
        <v>45763</v>
      </c>
    </row>
    <row r="15" spans="1:7" ht="21.95" customHeight="1" x14ac:dyDescent="0.25">
      <c r="A15" s="5" t="s">
        <v>87</v>
      </c>
      <c r="B15" s="5" t="s">
        <v>88</v>
      </c>
      <c r="C15" s="5" t="s">
        <v>89</v>
      </c>
      <c r="D15" s="5" t="s">
        <v>67</v>
      </c>
      <c r="E15" s="6">
        <v>600000</v>
      </c>
      <c r="F15" s="7">
        <v>45763</v>
      </c>
      <c r="G15" s="5" t="s">
        <v>90</v>
      </c>
    </row>
    <row r="16" spans="1:7" ht="21.95" customHeight="1" x14ac:dyDescent="0.25">
      <c r="F16" s="7">
        <v>45763</v>
      </c>
    </row>
    <row r="17" ht="21.95" customHeight="1" x14ac:dyDescent="0.25"/>
    <row r="18" ht="21.95" customHeight="1" x14ac:dyDescent="0.25"/>
    <row r="19" ht="21.95" customHeight="1" x14ac:dyDescent="0.25"/>
    <row r="20" ht="21.95" customHeight="1" x14ac:dyDescent="0.25"/>
    <row r="21" ht="21.95" customHeight="1" x14ac:dyDescent="0.25"/>
    <row r="22" ht="21.95" customHeight="1" x14ac:dyDescent="0.25"/>
    <row r="23" ht="21.95" customHeight="1" x14ac:dyDescent="0.25"/>
    <row r="24" ht="21.95" customHeight="1" x14ac:dyDescent="0.25"/>
    <row r="25" ht="21.95" customHeight="1" x14ac:dyDescent="0.25"/>
    <row r="26" ht="21.95" customHeight="1" x14ac:dyDescent="0.25"/>
    <row r="27" ht="21.95" customHeight="1" x14ac:dyDescent="0.25"/>
    <row r="28" ht="21.95" customHeight="1" x14ac:dyDescent="0.25"/>
    <row r="29" ht="21.95" customHeight="1" x14ac:dyDescent="0.25"/>
    <row r="30" ht="21.95" customHeight="1" x14ac:dyDescent="0.25"/>
    <row r="31" ht="21.95" customHeight="1" x14ac:dyDescent="0.25"/>
    <row r="32" ht="21.95" customHeight="1" x14ac:dyDescent="0.25"/>
    <row r="33" ht="21.95" customHeight="1" x14ac:dyDescent="0.25"/>
    <row r="34" ht="21.95" customHeight="1" x14ac:dyDescent="0.25"/>
    <row r="35" ht="21.95" customHeight="1" x14ac:dyDescent="0.25"/>
    <row r="36" ht="21.95" customHeight="1" x14ac:dyDescent="0.25"/>
    <row r="37" ht="21.95" customHeight="1" x14ac:dyDescent="0.25"/>
    <row r="38" ht="21.95" customHeight="1" x14ac:dyDescent="0.25"/>
    <row r="39" ht="21.95" customHeight="1" x14ac:dyDescent="0.25"/>
    <row r="40" ht="21.95" customHeight="1" x14ac:dyDescent="0.25"/>
    <row r="41" ht="21.95" customHeight="1" x14ac:dyDescent="0.25"/>
    <row r="42" ht="21.95" customHeight="1" x14ac:dyDescent="0.25"/>
    <row r="43" ht="21.95" customHeight="1" x14ac:dyDescent="0.25"/>
    <row r="44" ht="21.95" customHeight="1" x14ac:dyDescent="0.25"/>
    <row r="45" ht="21.95" customHeight="1" x14ac:dyDescent="0.25"/>
    <row r="46" ht="21.95" customHeight="1" x14ac:dyDescent="0.25"/>
    <row r="47" ht="21.95" customHeight="1" x14ac:dyDescent="0.25"/>
    <row r="48" ht="21.95" customHeight="1" x14ac:dyDescent="0.25"/>
    <row r="49" ht="21.95" customHeight="1" x14ac:dyDescent="0.25"/>
    <row r="50" ht="21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zoomScaleNormal="100" workbookViewId="0">
      <selection activeCell="A12" sqref="A12"/>
    </sheetView>
  </sheetViews>
  <sheetFormatPr baseColWidth="10" defaultColWidth="9.140625" defaultRowHeight="15" x14ac:dyDescent="0.25"/>
  <cols>
    <col min="1" max="1" width="23.7109375" style="5" bestFit="1" customWidth="1"/>
    <col min="2" max="2" width="14.5703125" style="5" customWidth="1"/>
    <col min="3" max="3" width="22" style="5" bestFit="1" customWidth="1"/>
    <col min="4" max="4" width="20.7109375" style="6" customWidth="1"/>
    <col min="5" max="5" width="20.7109375" style="5" customWidth="1"/>
    <col min="6" max="6" width="53.5703125" style="5" customWidth="1"/>
  </cols>
  <sheetData>
    <row r="1" spans="1:6" s="16" customFormat="1" ht="28.5" customHeight="1" x14ac:dyDescent="0.25">
      <c r="A1" s="14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</row>
    <row r="2" spans="1:6" s="11" customFormat="1" ht="21.95" customHeight="1" x14ac:dyDescent="0.25">
      <c r="A2" s="11" t="s">
        <v>21</v>
      </c>
      <c r="B2" s="11" t="s">
        <v>22</v>
      </c>
      <c r="C2" s="11" t="s">
        <v>23</v>
      </c>
      <c r="D2" s="12">
        <v>130000</v>
      </c>
      <c r="E2" s="13">
        <v>45750</v>
      </c>
      <c r="F2" s="11" t="s">
        <v>24</v>
      </c>
    </row>
    <row r="3" spans="1:6" s="11" customFormat="1" ht="21.95" customHeight="1" x14ac:dyDescent="0.25">
      <c r="A3" s="11" t="s">
        <v>41</v>
      </c>
      <c r="B3" s="11" t="s">
        <v>42</v>
      </c>
      <c r="C3" s="11" t="s">
        <v>46</v>
      </c>
      <c r="D3" s="12">
        <v>130000</v>
      </c>
      <c r="E3" s="13">
        <v>45750</v>
      </c>
      <c r="F3" s="11" t="s">
        <v>44</v>
      </c>
    </row>
    <row r="4" spans="1:6" s="11" customFormat="1" ht="21.95" customHeight="1" x14ac:dyDescent="0.25">
      <c r="A4" s="11" t="s">
        <v>43</v>
      </c>
      <c r="B4" s="11" t="s">
        <v>52</v>
      </c>
      <c r="C4" s="11" t="s">
        <v>47</v>
      </c>
      <c r="D4" s="12">
        <v>105000</v>
      </c>
      <c r="E4" s="13">
        <v>45751</v>
      </c>
      <c r="F4" s="11" t="s">
        <v>45</v>
      </c>
    </row>
    <row r="5" spans="1:6" s="11" customFormat="1" ht="21.95" customHeight="1" x14ac:dyDescent="0.25">
      <c r="A5" s="11" t="s">
        <v>49</v>
      </c>
      <c r="B5" s="11" t="s">
        <v>51</v>
      </c>
      <c r="C5" s="11" t="s">
        <v>48</v>
      </c>
      <c r="D5" s="12">
        <v>230000</v>
      </c>
      <c r="E5" s="13">
        <v>45751</v>
      </c>
      <c r="F5" s="11" t="s">
        <v>50</v>
      </c>
    </row>
    <row r="6" spans="1:6" s="11" customFormat="1" ht="21.95" customHeight="1" x14ac:dyDescent="0.25">
      <c r="A6" s="11" t="s">
        <v>53</v>
      </c>
      <c r="B6" s="11" t="s">
        <v>54</v>
      </c>
      <c r="C6" s="11" t="s">
        <v>56</v>
      </c>
      <c r="D6" s="12">
        <v>230000</v>
      </c>
      <c r="E6" s="13">
        <v>45752</v>
      </c>
      <c r="F6" s="11" t="s">
        <v>57</v>
      </c>
    </row>
    <row r="7" spans="1:6" s="11" customFormat="1" ht="21.95" customHeight="1" x14ac:dyDescent="0.25">
      <c r="A7" s="11" t="s">
        <v>55</v>
      </c>
      <c r="B7" s="11" t="s">
        <v>58</v>
      </c>
      <c r="C7" s="11" t="s">
        <v>59</v>
      </c>
      <c r="D7" s="12">
        <v>90000</v>
      </c>
      <c r="E7" s="13">
        <v>45754</v>
      </c>
      <c r="F7" s="11" t="s">
        <v>60</v>
      </c>
    </row>
    <row r="8" spans="1:6" s="11" customFormat="1" ht="21.95" customHeight="1" x14ac:dyDescent="0.25">
      <c r="A8" s="11" t="s">
        <v>94</v>
      </c>
      <c r="B8" s="11" t="s">
        <v>95</v>
      </c>
      <c r="C8" s="11" t="s">
        <v>19</v>
      </c>
      <c r="D8" s="12">
        <v>120000</v>
      </c>
      <c r="E8" s="13">
        <v>45759</v>
      </c>
      <c r="F8" s="11" t="s">
        <v>96</v>
      </c>
    </row>
    <row r="9" spans="1:6" s="11" customFormat="1" ht="21.95" customHeight="1" x14ac:dyDescent="0.25">
      <c r="A9" s="11" t="s">
        <v>91</v>
      </c>
      <c r="B9" s="11" t="s">
        <v>92</v>
      </c>
      <c r="C9" s="11" t="s">
        <v>19</v>
      </c>
      <c r="D9" s="12">
        <v>30000</v>
      </c>
      <c r="E9" s="13">
        <v>45638</v>
      </c>
      <c r="F9" s="11" t="s">
        <v>93</v>
      </c>
    </row>
    <row r="10" spans="1:6" s="11" customFormat="1" ht="21.95" customHeight="1" x14ac:dyDescent="0.25">
      <c r="A10" s="11" t="s">
        <v>98</v>
      </c>
      <c r="B10" s="11" t="s">
        <v>99</v>
      </c>
      <c r="C10" s="11" t="s">
        <v>100</v>
      </c>
      <c r="D10" s="12">
        <v>80000</v>
      </c>
      <c r="E10" s="13">
        <v>45638</v>
      </c>
      <c r="F10" s="11" t="s">
        <v>101</v>
      </c>
    </row>
    <row r="11" spans="1:6" s="11" customFormat="1" ht="21.95" customHeight="1" x14ac:dyDescent="0.25">
      <c r="A11" s="11" t="s">
        <v>102</v>
      </c>
      <c r="B11" s="11" t="s">
        <v>103</v>
      </c>
      <c r="C11" s="11" t="s">
        <v>19</v>
      </c>
      <c r="D11" s="12">
        <v>110000</v>
      </c>
      <c r="E11" s="13">
        <v>45638</v>
      </c>
      <c r="F11" s="11" t="s">
        <v>104</v>
      </c>
    </row>
    <row r="12" spans="1:6" s="11" customFormat="1" ht="21.95" customHeight="1" x14ac:dyDescent="0.25">
      <c r="D12" s="12"/>
    </row>
    <row r="13" spans="1:6" s="11" customFormat="1" ht="21.95" customHeight="1" x14ac:dyDescent="0.25">
      <c r="D13" s="12"/>
    </row>
    <row r="14" spans="1:6" s="11" customFormat="1" ht="21.95" customHeight="1" x14ac:dyDescent="0.25">
      <c r="D14" s="12"/>
    </row>
    <row r="15" spans="1:6" s="11" customFormat="1" ht="21.95" customHeight="1" x14ac:dyDescent="0.25">
      <c r="D15" s="12"/>
    </row>
    <row r="16" spans="1:6" s="11" customFormat="1" ht="21.95" customHeight="1" x14ac:dyDescent="0.25">
      <c r="D16" s="12"/>
    </row>
    <row r="17" spans="4:4" s="11" customFormat="1" ht="21.95" customHeight="1" x14ac:dyDescent="0.25">
      <c r="D17" s="12"/>
    </row>
    <row r="18" spans="4:4" s="11" customFormat="1" ht="21.95" customHeight="1" x14ac:dyDescent="0.25">
      <c r="D18" s="12"/>
    </row>
    <row r="19" spans="4:4" s="11" customFormat="1" ht="21.95" customHeight="1" x14ac:dyDescent="0.25">
      <c r="D19" s="12"/>
    </row>
    <row r="20" spans="4:4" s="11" customFormat="1" ht="21.95" customHeight="1" x14ac:dyDescent="0.25">
      <c r="D20" s="12"/>
    </row>
    <row r="21" spans="4:4" s="11" customFormat="1" ht="21.95" customHeight="1" x14ac:dyDescent="0.25">
      <c r="D21" s="12"/>
    </row>
    <row r="22" spans="4:4" s="11" customFormat="1" ht="21.95" customHeight="1" x14ac:dyDescent="0.25">
      <c r="D22" s="12"/>
    </row>
    <row r="23" spans="4:4" s="11" customFormat="1" ht="21.95" customHeight="1" x14ac:dyDescent="0.25">
      <c r="D23" s="12"/>
    </row>
    <row r="24" spans="4:4" s="11" customFormat="1" ht="21.95" customHeight="1" x14ac:dyDescent="0.25">
      <c r="D24" s="12"/>
    </row>
    <row r="25" spans="4:4" s="11" customFormat="1" ht="21.95" customHeight="1" x14ac:dyDescent="0.25">
      <c r="D25" s="12"/>
    </row>
    <row r="26" spans="4:4" s="11" customFormat="1" ht="21.95" customHeight="1" x14ac:dyDescent="0.25">
      <c r="D26" s="12"/>
    </row>
    <row r="27" spans="4:4" s="11" customFormat="1" ht="21.95" customHeight="1" x14ac:dyDescent="0.25">
      <c r="D27" s="12"/>
    </row>
    <row r="28" spans="4:4" s="11" customFormat="1" ht="21.95" customHeight="1" x14ac:dyDescent="0.25">
      <c r="D28" s="12"/>
    </row>
    <row r="29" spans="4:4" s="11" customFormat="1" ht="21.95" customHeight="1" x14ac:dyDescent="0.25">
      <c r="D29" s="12"/>
    </row>
    <row r="30" spans="4:4" s="11" customFormat="1" ht="21.95" customHeight="1" x14ac:dyDescent="0.25">
      <c r="D30" s="12"/>
    </row>
    <row r="31" spans="4:4" s="11" customFormat="1" ht="21.95" customHeight="1" x14ac:dyDescent="0.25">
      <c r="D31" s="12"/>
    </row>
    <row r="32" spans="4:4" s="11" customFormat="1" ht="21.95" customHeight="1" x14ac:dyDescent="0.25">
      <c r="D32" s="12"/>
    </row>
    <row r="33" spans="4:4" s="11" customFormat="1" ht="21.95" customHeight="1" x14ac:dyDescent="0.25">
      <c r="D33" s="12"/>
    </row>
    <row r="34" spans="4:4" s="11" customFormat="1" ht="21.95" customHeight="1" x14ac:dyDescent="0.25">
      <c r="D34" s="12"/>
    </row>
    <row r="35" spans="4:4" s="11" customFormat="1" ht="21.95" customHeight="1" x14ac:dyDescent="0.25">
      <c r="D35" s="12"/>
    </row>
    <row r="36" spans="4:4" s="11" customFormat="1" ht="21.95" customHeight="1" x14ac:dyDescent="0.25">
      <c r="D36" s="12"/>
    </row>
    <row r="37" spans="4:4" s="11" customFormat="1" ht="21.95" customHeight="1" x14ac:dyDescent="0.25">
      <c r="D37" s="12"/>
    </row>
    <row r="38" spans="4:4" s="11" customFormat="1" ht="21.95" customHeight="1" x14ac:dyDescent="0.25">
      <c r="D38" s="12"/>
    </row>
    <row r="39" spans="4:4" s="11" customFormat="1" ht="21.95" customHeight="1" x14ac:dyDescent="0.25">
      <c r="D39" s="12"/>
    </row>
    <row r="40" spans="4:4" s="11" customFormat="1" ht="21.95" customHeight="1" x14ac:dyDescent="0.25">
      <c r="D40" s="12"/>
    </row>
    <row r="41" spans="4:4" s="11" customFormat="1" ht="21.95" customHeight="1" x14ac:dyDescent="0.25">
      <c r="D41" s="12"/>
    </row>
    <row r="42" spans="4:4" s="11" customFormat="1" ht="21.95" customHeight="1" x14ac:dyDescent="0.25">
      <c r="D42" s="12"/>
    </row>
    <row r="43" spans="4:4" s="11" customFormat="1" ht="21.95" customHeight="1" x14ac:dyDescent="0.25">
      <c r="D43" s="12"/>
    </row>
    <row r="44" spans="4:4" s="11" customFormat="1" ht="21.95" customHeight="1" x14ac:dyDescent="0.25">
      <c r="D44" s="12"/>
    </row>
    <row r="45" spans="4:4" s="11" customFormat="1" ht="21.95" customHeight="1" x14ac:dyDescent="0.25">
      <c r="D45" s="12"/>
    </row>
    <row r="46" spans="4:4" s="11" customFormat="1" ht="21.95" customHeight="1" x14ac:dyDescent="0.25">
      <c r="D46" s="12"/>
    </row>
    <row r="47" spans="4:4" s="11" customFormat="1" ht="21.95" customHeight="1" x14ac:dyDescent="0.25">
      <c r="D47" s="12"/>
    </row>
    <row r="48" spans="4:4" s="11" customFormat="1" ht="21.95" customHeight="1" x14ac:dyDescent="0.25">
      <c r="D48" s="12"/>
    </row>
    <row r="49" spans="4:4" s="11" customFormat="1" ht="21.95" customHeight="1" x14ac:dyDescent="0.25">
      <c r="D49" s="12"/>
    </row>
    <row r="50" spans="4:4" s="11" customFormat="1" ht="21.95" customHeight="1" x14ac:dyDescent="0.25">
      <c r="D50" s="12"/>
    </row>
    <row r="51" spans="4:4" s="11" customFormat="1" ht="21.95" customHeight="1" x14ac:dyDescent="0.25">
      <c r="D51" s="12"/>
    </row>
    <row r="52" spans="4:4" s="11" customFormat="1" ht="21.95" customHeight="1" x14ac:dyDescent="0.25">
      <c r="D52" s="12"/>
    </row>
    <row r="53" spans="4:4" s="11" customFormat="1" ht="21.95" customHeight="1" x14ac:dyDescent="0.25">
      <c r="D53" s="12"/>
    </row>
    <row r="54" spans="4:4" s="11" customFormat="1" ht="21.95" customHeight="1" x14ac:dyDescent="0.25">
      <c r="D54" s="12"/>
    </row>
    <row r="55" spans="4:4" s="11" customFormat="1" ht="21.95" customHeight="1" x14ac:dyDescent="0.25">
      <c r="D55" s="12"/>
    </row>
    <row r="56" spans="4:4" s="11" customFormat="1" ht="21.95" customHeight="1" x14ac:dyDescent="0.25">
      <c r="D56" s="12"/>
    </row>
    <row r="57" spans="4:4" s="11" customFormat="1" ht="21.95" customHeight="1" x14ac:dyDescent="0.25">
      <c r="D57" s="12"/>
    </row>
    <row r="58" spans="4:4" s="11" customFormat="1" ht="21.95" customHeight="1" x14ac:dyDescent="0.25">
      <c r="D58" s="12"/>
    </row>
    <row r="59" spans="4:4" s="11" customFormat="1" ht="21.95" customHeight="1" x14ac:dyDescent="0.25">
      <c r="D59" s="12"/>
    </row>
    <row r="60" spans="4:4" s="11" customFormat="1" ht="21.95" customHeight="1" x14ac:dyDescent="0.25">
      <c r="D60" s="12"/>
    </row>
    <row r="61" spans="4:4" s="11" customFormat="1" ht="21.95" customHeight="1" x14ac:dyDescent="0.25">
      <c r="D61" s="12"/>
    </row>
    <row r="62" spans="4:4" s="11" customFormat="1" ht="21.95" customHeight="1" x14ac:dyDescent="0.25">
      <c r="D62" s="12"/>
    </row>
    <row r="63" spans="4:4" s="11" customFormat="1" ht="21.95" customHeight="1" x14ac:dyDescent="0.25">
      <c r="D63" s="12"/>
    </row>
    <row r="64" spans="4:4" s="11" customFormat="1" ht="21.95" customHeight="1" x14ac:dyDescent="0.25">
      <c r="D64" s="12"/>
    </row>
    <row r="65" spans="4:4" s="11" customFormat="1" ht="21.95" customHeight="1" x14ac:dyDescent="0.25">
      <c r="D65" s="12"/>
    </row>
    <row r="66" spans="4:4" s="11" customFormat="1" ht="21.95" customHeight="1" x14ac:dyDescent="0.25">
      <c r="D66" s="12"/>
    </row>
    <row r="67" spans="4:4" s="11" customFormat="1" ht="21.95" customHeight="1" x14ac:dyDescent="0.25">
      <c r="D67" s="12"/>
    </row>
    <row r="68" spans="4:4" s="11" customFormat="1" ht="21.95" customHeight="1" x14ac:dyDescent="0.25">
      <c r="D68" s="12"/>
    </row>
    <row r="69" spans="4:4" s="11" customFormat="1" ht="21.95" customHeight="1" x14ac:dyDescent="0.25">
      <c r="D69" s="12"/>
    </row>
    <row r="70" spans="4:4" s="11" customFormat="1" ht="21.95" customHeight="1" x14ac:dyDescent="0.25">
      <c r="D70" s="12"/>
    </row>
    <row r="71" spans="4:4" s="11" customFormat="1" ht="21.95" customHeight="1" x14ac:dyDescent="0.25">
      <c r="D71" s="12"/>
    </row>
    <row r="72" spans="4:4" s="11" customFormat="1" ht="21.95" customHeight="1" x14ac:dyDescent="0.25">
      <c r="D72" s="12"/>
    </row>
    <row r="73" spans="4:4" s="11" customFormat="1" ht="21.95" customHeight="1" x14ac:dyDescent="0.25">
      <c r="D73" s="12"/>
    </row>
    <row r="74" spans="4:4" s="11" customFormat="1" ht="21.95" customHeight="1" x14ac:dyDescent="0.25">
      <c r="D74" s="12"/>
    </row>
    <row r="75" spans="4:4" s="11" customFormat="1" ht="21.95" customHeight="1" x14ac:dyDescent="0.25">
      <c r="D75" s="12"/>
    </row>
    <row r="76" spans="4:4" s="11" customFormat="1" ht="21.95" customHeight="1" x14ac:dyDescent="0.25">
      <c r="D76" s="12"/>
    </row>
    <row r="77" spans="4:4" s="11" customFormat="1" ht="21.95" customHeight="1" x14ac:dyDescent="0.25">
      <c r="D77" s="12"/>
    </row>
    <row r="78" spans="4:4" s="11" customFormat="1" ht="21.95" customHeight="1" x14ac:dyDescent="0.25">
      <c r="D78" s="12"/>
    </row>
    <row r="79" spans="4:4" s="11" customFormat="1" ht="21.95" customHeight="1" x14ac:dyDescent="0.25">
      <c r="D79" s="12"/>
    </row>
    <row r="80" spans="4:4" s="11" customFormat="1" ht="21.95" customHeight="1" x14ac:dyDescent="0.25">
      <c r="D80" s="12"/>
    </row>
    <row r="81" spans="4:4" s="11" customFormat="1" ht="21.95" customHeight="1" x14ac:dyDescent="0.25">
      <c r="D81" s="12"/>
    </row>
    <row r="82" spans="4:4" s="11" customFormat="1" ht="21.95" customHeight="1" x14ac:dyDescent="0.25">
      <c r="D82" s="12"/>
    </row>
    <row r="83" spans="4:4" s="11" customFormat="1" ht="21.95" customHeight="1" x14ac:dyDescent="0.25">
      <c r="D83" s="12"/>
    </row>
    <row r="84" spans="4:4" s="11" customFormat="1" ht="21.95" customHeight="1" x14ac:dyDescent="0.25">
      <c r="D84" s="12"/>
    </row>
    <row r="85" spans="4:4" s="11" customFormat="1" ht="21.95" customHeight="1" x14ac:dyDescent="0.25">
      <c r="D85" s="12"/>
    </row>
    <row r="86" spans="4:4" s="11" customFormat="1" ht="21.95" customHeight="1" x14ac:dyDescent="0.25">
      <c r="D86" s="12"/>
    </row>
    <row r="87" spans="4:4" s="11" customFormat="1" ht="21.95" customHeight="1" x14ac:dyDescent="0.25">
      <c r="D87" s="12"/>
    </row>
    <row r="88" spans="4:4" s="11" customFormat="1" ht="21.95" customHeight="1" x14ac:dyDescent="0.25">
      <c r="D88" s="12"/>
    </row>
    <row r="89" spans="4:4" s="11" customFormat="1" ht="21.95" customHeight="1" x14ac:dyDescent="0.25">
      <c r="D89" s="12"/>
    </row>
    <row r="90" spans="4:4" s="11" customFormat="1" ht="21.95" customHeight="1" x14ac:dyDescent="0.25">
      <c r="D90" s="12"/>
    </row>
    <row r="91" spans="4:4" s="11" customFormat="1" ht="21.95" customHeight="1" x14ac:dyDescent="0.25">
      <c r="D91" s="12"/>
    </row>
    <row r="92" spans="4:4" s="11" customFormat="1" ht="21.95" customHeight="1" x14ac:dyDescent="0.25">
      <c r="D92" s="12"/>
    </row>
    <row r="93" spans="4:4" s="11" customFormat="1" ht="21.95" customHeight="1" x14ac:dyDescent="0.25">
      <c r="D93" s="12"/>
    </row>
    <row r="94" spans="4:4" s="11" customFormat="1" ht="21.95" customHeight="1" x14ac:dyDescent="0.25">
      <c r="D94" s="12"/>
    </row>
    <row r="95" spans="4:4" s="11" customFormat="1" ht="21.95" customHeight="1" x14ac:dyDescent="0.25">
      <c r="D95" s="12"/>
    </row>
    <row r="96" spans="4:4" s="11" customFormat="1" ht="21.95" customHeight="1" x14ac:dyDescent="0.25">
      <c r="D96" s="12"/>
    </row>
    <row r="97" spans="4:4" s="11" customFormat="1" ht="21.95" customHeight="1" x14ac:dyDescent="0.25">
      <c r="D97" s="12"/>
    </row>
    <row r="98" spans="4:4" s="11" customFormat="1" ht="21.95" customHeight="1" x14ac:dyDescent="0.25">
      <c r="D98" s="12"/>
    </row>
    <row r="99" spans="4:4" s="11" customFormat="1" ht="21.95" customHeight="1" x14ac:dyDescent="0.25">
      <c r="D99" s="12"/>
    </row>
    <row r="100" spans="4:4" s="11" customFormat="1" ht="21.95" customHeight="1" x14ac:dyDescent="0.25">
      <c r="D1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24.85546875" style="5" bestFit="1" customWidth="1"/>
    <col min="2" max="2" width="20.7109375" style="5" customWidth="1"/>
    <col min="3" max="3" width="23.7109375" style="5" bestFit="1" customWidth="1"/>
    <col min="4" max="4" width="20.7109375" style="6" customWidth="1"/>
    <col min="5" max="5" width="22" style="5" bestFit="1" customWidth="1"/>
    <col min="6" max="6" width="55.7109375" style="5" bestFit="1" customWidth="1"/>
  </cols>
  <sheetData>
    <row r="1" spans="1:6" s="9" customFormat="1" ht="21.95" customHeight="1" x14ac:dyDescent="0.25">
      <c r="A1" s="8" t="s">
        <v>0</v>
      </c>
      <c r="B1" s="8" t="s">
        <v>1</v>
      </c>
      <c r="C1" s="8" t="s">
        <v>2</v>
      </c>
      <c r="D1" s="10" t="s">
        <v>38</v>
      </c>
      <c r="E1" s="8" t="s">
        <v>4</v>
      </c>
      <c r="F1" s="8" t="s">
        <v>5</v>
      </c>
    </row>
    <row r="2" spans="1:6" ht="21.95" customHeight="1" x14ac:dyDescent="0.25">
      <c r="A2" s="5" t="s">
        <v>39</v>
      </c>
      <c r="B2" s="5" t="s">
        <v>40</v>
      </c>
      <c r="C2" s="5" t="s">
        <v>29</v>
      </c>
      <c r="D2" s="6">
        <v>150000</v>
      </c>
      <c r="E2" s="7">
        <v>45749</v>
      </c>
      <c r="F2" s="5" t="s">
        <v>30</v>
      </c>
    </row>
    <row r="3" spans="1:6" ht="21.95" customHeight="1" x14ac:dyDescent="0.25">
      <c r="A3" s="5" t="s">
        <v>35</v>
      </c>
      <c r="B3" s="5" t="s">
        <v>36</v>
      </c>
      <c r="C3" s="5" t="s">
        <v>37</v>
      </c>
      <c r="D3" s="6">
        <v>45000</v>
      </c>
      <c r="E3" s="7">
        <v>45754</v>
      </c>
      <c r="F3" s="5" t="s">
        <v>63</v>
      </c>
    </row>
    <row r="4" spans="1:6" ht="21.95" customHeight="1" x14ac:dyDescent="0.25">
      <c r="A4" s="5" t="s">
        <v>61</v>
      </c>
      <c r="B4" s="5" t="s">
        <v>97</v>
      </c>
      <c r="C4" s="5" t="s">
        <v>19</v>
      </c>
      <c r="D4" s="6">
        <v>100000</v>
      </c>
      <c r="E4" s="7">
        <v>45755</v>
      </c>
      <c r="F4" s="5" t="s">
        <v>62</v>
      </c>
    </row>
    <row r="5" spans="1:6" ht="21.95" customHeight="1" x14ac:dyDescent="0.25"/>
    <row r="6" spans="1:6" ht="21.95" customHeight="1" x14ac:dyDescent="0.25"/>
    <row r="7" spans="1:6" ht="21.95" customHeight="1" x14ac:dyDescent="0.25"/>
    <row r="8" spans="1:6" ht="21.95" customHeight="1" x14ac:dyDescent="0.25"/>
    <row r="9" spans="1:6" ht="21.95" customHeight="1" x14ac:dyDescent="0.25"/>
    <row r="10" spans="1:6" ht="21.95" customHeight="1" x14ac:dyDescent="0.25"/>
    <row r="11" spans="1:6" ht="21.95" customHeight="1" x14ac:dyDescent="0.25"/>
    <row r="12" spans="1:6" ht="21.95" customHeight="1" x14ac:dyDescent="0.25"/>
    <row r="13" spans="1:6" ht="21.95" customHeight="1" x14ac:dyDescent="0.25"/>
    <row r="14" spans="1:6" ht="21.95" customHeight="1" x14ac:dyDescent="0.25"/>
    <row r="15" spans="1:6" ht="21.95" customHeight="1" x14ac:dyDescent="0.25"/>
    <row r="16" spans="1:6" ht="21.95" customHeight="1" x14ac:dyDescent="0.25"/>
    <row r="17" ht="21.95" customHeight="1" x14ac:dyDescent="0.25"/>
    <row r="18" ht="21.95" customHeight="1" x14ac:dyDescent="0.25"/>
    <row r="19" ht="21.95" customHeight="1" x14ac:dyDescent="0.25"/>
    <row r="20" ht="21.95" customHeight="1" x14ac:dyDescent="0.25"/>
    <row r="21" ht="21.95" customHeight="1" x14ac:dyDescent="0.25"/>
    <row r="22" ht="21.95" customHeight="1" x14ac:dyDescent="0.25"/>
    <row r="23" ht="21.95" customHeight="1" x14ac:dyDescent="0.25"/>
    <row r="24" ht="21.95" customHeight="1" x14ac:dyDescent="0.25"/>
    <row r="25" ht="21.95" customHeight="1" x14ac:dyDescent="0.25"/>
    <row r="26" ht="21.95" customHeight="1" x14ac:dyDescent="0.25"/>
    <row r="27" ht="21.95" customHeight="1" x14ac:dyDescent="0.25"/>
    <row r="28" ht="21.95" customHeight="1" x14ac:dyDescent="0.25"/>
    <row r="29" ht="21.95" customHeight="1" x14ac:dyDescent="0.25"/>
    <row r="30" ht="21.95" customHeight="1" x14ac:dyDescent="0.25"/>
    <row r="31" ht="21.95" customHeight="1" x14ac:dyDescent="0.25"/>
    <row r="32" ht="21.95" customHeight="1" x14ac:dyDescent="0.25"/>
    <row r="33" ht="21.95" customHeight="1" x14ac:dyDescent="0.25"/>
    <row r="34" ht="21.95" customHeight="1" x14ac:dyDescent="0.25"/>
    <row r="35" ht="21.95" customHeight="1" x14ac:dyDescent="0.25"/>
    <row r="36" ht="21.95" customHeight="1" x14ac:dyDescent="0.25"/>
    <row r="37" ht="21.95" customHeight="1" x14ac:dyDescent="0.25"/>
    <row r="38" ht="21.95" customHeight="1" x14ac:dyDescent="0.25"/>
    <row r="39" ht="21.95" customHeight="1" x14ac:dyDescent="0.25"/>
    <row r="40" ht="21.95" customHeight="1" x14ac:dyDescent="0.25"/>
    <row r="41" ht="21.95" customHeight="1" x14ac:dyDescent="0.25"/>
    <row r="42" ht="21.95" customHeight="1" x14ac:dyDescent="0.25"/>
    <row r="43" ht="21.95" customHeight="1" x14ac:dyDescent="0.25"/>
    <row r="44" ht="21.95" customHeight="1" x14ac:dyDescent="0.25"/>
    <row r="45" ht="21.95" customHeight="1" x14ac:dyDescent="0.25"/>
    <row r="46" ht="21.95" customHeight="1" x14ac:dyDescent="0.25"/>
    <row r="47" ht="21.95" customHeight="1" x14ac:dyDescent="0.25"/>
    <row r="48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29.7109375" customWidth="1"/>
    <col min="2" max="2" width="27.85546875" customWidth="1"/>
  </cols>
  <sheetData>
    <row r="1" spans="1:2" x14ac:dyDescent="0.25">
      <c r="A1" s="1" t="s">
        <v>6</v>
      </c>
    </row>
    <row r="3" spans="1:2" x14ac:dyDescent="0.25">
      <c r="A3" s="2" t="s">
        <v>7</v>
      </c>
      <c r="B3">
        <f>COUNTA('Pedidos de Alquiler'!A2:A100)</f>
        <v>14</v>
      </c>
    </row>
    <row r="4" spans="1:2" x14ac:dyDescent="0.25">
      <c r="A4" s="2" t="s">
        <v>8</v>
      </c>
      <c r="B4">
        <f>COUNTA('Pedidos de Compra'!A2:A100)</f>
        <v>10</v>
      </c>
    </row>
    <row r="5" spans="1:2" x14ac:dyDescent="0.25">
      <c r="A5" s="2" t="s">
        <v>9</v>
      </c>
      <c r="B5">
        <f>COUNTA('Pedidos de Venta'!A2:A100)</f>
        <v>3</v>
      </c>
    </row>
    <row r="7" spans="1:2" x14ac:dyDescent="0.25">
      <c r="A7" s="2" t="s">
        <v>10</v>
      </c>
      <c r="B7" t="e">
        <f>COUNTIF('Pedidos de Alquiler'!#REF!, "&lt;&gt;Sí")</f>
        <v>#REF!</v>
      </c>
    </row>
    <row r="8" spans="1:2" x14ac:dyDescent="0.25">
      <c r="A8" s="2" t="s">
        <v>11</v>
      </c>
      <c r="B8" t="e">
        <f ca="1">COUNTIF('Pedidos de Alquiler'!#REF!, "&lt;"&amp;TODAY())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Pedidos de Alquiler</vt:lpstr>
      <vt:lpstr>Pedidos de Compra</vt:lpstr>
      <vt:lpstr>Pedidos de Venta</vt:lpstr>
      <vt:lpstr>Resumen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2025-04-16T10:52:21Z</dcterms:created>
  <dcterms:modified xsi:type="dcterms:W3CDTF">2025-04-16T18:54:31Z</dcterms:modified>
</cp:coreProperties>
</file>